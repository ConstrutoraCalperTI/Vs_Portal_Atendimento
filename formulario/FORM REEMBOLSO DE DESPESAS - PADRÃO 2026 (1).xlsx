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Projetos VSCODE\Vs_Portal_Atendimento\formulario\"/>
    </mc:Choice>
  </mc:AlternateContent>
  <xr:revisionPtr revIDLastSave="0" documentId="8_{3E43125B-B0CC-4863-9D14-1BC3F67616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EMBOLSO" sheetId="1" r:id="rId1"/>
  </sheets>
  <definedNames>
    <definedName name="_xlnm.Print_Area" localSheetId="0">REEMBOLSO!$C$3:$N$63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4" i="1"/>
  <c r="E20" i="1"/>
  <c r="O20" i="1" s="1"/>
  <c r="R27" i="1" l="1"/>
  <c r="R15" i="1"/>
  <c r="R14" i="1"/>
  <c r="R13" i="1"/>
  <c r="R12" i="1"/>
  <c r="R11" i="1"/>
  <c r="R10" i="1"/>
  <c r="R9" i="1"/>
  <c r="R8" i="1"/>
  <c r="R7" i="1"/>
  <c r="R6" i="1"/>
  <c r="R3" i="1"/>
  <c r="R26" i="1" l="1"/>
  <c r="R25" i="1"/>
  <c r="R24" i="1"/>
  <c r="R23" i="1"/>
  <c r="R22" i="1"/>
  <c r="R21" i="1"/>
  <c r="R20" i="1"/>
  <c r="R19" i="1"/>
  <c r="R18" i="1"/>
  <c r="R17" i="1"/>
  <c r="R16" i="1"/>
  <c r="F52" i="1" l="1"/>
  <c r="T21" i="1" l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20" i="1"/>
  <c r="I17" i="1" l="1"/>
  <c r="R2" i="1"/>
  <c r="O21" i="1" l="1"/>
  <c r="O22" i="1" l="1"/>
  <c r="O23" i="1" l="1"/>
  <c r="O24" i="1" s="1"/>
  <c r="O25" i="1" s="1"/>
  <c r="O26" i="1" l="1"/>
  <c r="O27" i="1" l="1"/>
  <c r="O28" i="1" l="1"/>
  <c r="O29" i="1" l="1"/>
  <c r="O30" i="1" l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l="1"/>
  <c r="O46" i="1" l="1"/>
  <c r="O47" i="1" l="1"/>
  <c r="O48" i="1" s="1"/>
  <c r="O49" i="1" s="1"/>
  <c r="O50" i="1" s="1"/>
  <c r="L17" i="1" s="1"/>
</calcChain>
</file>

<file path=xl/sharedStrings.xml><?xml version="1.0" encoding="utf-8"?>
<sst xmlns="http://schemas.openxmlformats.org/spreadsheetml/2006/main" count="22" uniqueCount="21">
  <si>
    <t>DATA</t>
  </si>
  <si>
    <t>FUNCIONÁRIO:</t>
  </si>
  <si>
    <t>INFORMAÇÕES DE PREENCHIMENTO</t>
  </si>
  <si>
    <t>ASSINATURA DO GESTOR</t>
  </si>
  <si>
    <t>A</t>
  </si>
  <si>
    <t>MÊS:</t>
  </si>
  <si>
    <t>PERÍODO:</t>
  </si>
  <si>
    <t>VALOR</t>
  </si>
  <si>
    <t>_____________________________________</t>
  </si>
  <si>
    <t>VALOR DO FUNDO FIXO:</t>
  </si>
  <si>
    <t>VALOR TOTAL:</t>
  </si>
  <si>
    <t>DESCRIÇÃO</t>
  </si>
  <si>
    <t>MOTIVO</t>
  </si>
  <si>
    <t>CPF:</t>
  </si>
  <si>
    <t>DEPARTAMENTO:</t>
  </si>
  <si>
    <r>
      <rPr>
        <sz val="11"/>
        <rFont val="Arial"/>
        <family val="2"/>
      </rPr>
      <t>Título:</t>
    </r>
    <r>
      <rPr>
        <b/>
        <sz val="14"/>
        <rFont val="Arial"/>
        <family val="2"/>
      </rPr>
      <t xml:space="preserve">
</t>
    </r>
    <r>
      <rPr>
        <b/>
        <sz val="12"/>
        <rFont val="Arial"/>
        <family val="2"/>
      </rPr>
      <t>REEMBOLSO</t>
    </r>
  </si>
  <si>
    <t>MARÇO  - 2026</t>
  </si>
  <si>
    <t>ASSINATURA DO FUNCIONÁRIO</t>
  </si>
  <si>
    <t>1 - Preencher corretamente o campo de data, valor, descrição(fornecedor) e motivo da despesa, o reembolso ocorrerá conforme padrão de pagamento, 15 dias.</t>
  </si>
  <si>
    <t>2 - Todas os comprovantes da despesa devem ser anexados ao workflow de pagamento no RM, junto a esse formulário.</t>
  </si>
  <si>
    <t>3 - As assinaturas do funcionário e gestor, deverão ocorrer via DOCUSIGN.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</si>
</sst>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mmmm\-yy;@"/>
    <numFmt numFmtId="165" formatCode="&quot;R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165" fontId="5" fillId="0" borderId="11" xfId="0" applyNumberFormat="1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165" fontId="13" fillId="0" borderId="2" xfId="1" applyNumberFormat="1" applyFont="1" applyBorder="1" applyAlignment="1">
      <alignment horizontal="center" vertical="center" wrapText="1"/>
    </xf>
    <xf numFmtId="165" fontId="13" fillId="0" borderId="5" xfId="1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 applyProtection="1">
      <alignment horizontal="center" vertical="center" wrapText="1"/>
      <protection locked="0"/>
    </xf>
    <xf numFmtId="165" fontId="19" fillId="0" borderId="1" xfId="0" applyNumberFormat="1" applyFont="1" applyBorder="1" applyAlignment="1" applyProtection="1">
      <alignment vertical="center" wrapText="1"/>
      <protection locked="0"/>
    </xf>
    <xf numFmtId="0" fontId="15" fillId="0" borderId="6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8" fontId="13" fillId="0" borderId="5" xfId="0" applyNumberFormat="1" applyFont="1" applyBorder="1" applyAlignment="1">
      <alignment horizontal="center" vertical="center" wrapText="1"/>
    </xf>
    <xf numFmtId="44" fontId="13" fillId="0" borderId="5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164" fontId="13" fillId="0" borderId="2" xfId="0" applyNumberFormat="1" applyFont="1" applyBorder="1" applyAlignment="1" applyProtection="1">
      <alignment horizontal="center" vertical="center" wrapText="1"/>
      <protection locked="0"/>
    </xf>
    <xf numFmtId="164" fontId="13" fillId="0" borderId="3" xfId="0" applyNumberFormat="1" applyFont="1" applyBorder="1" applyAlignment="1" applyProtection="1">
      <alignment horizontal="center" vertical="center" wrapText="1"/>
      <protection locked="0"/>
    </xf>
    <xf numFmtId="164" fontId="13" fillId="0" borderId="4" xfId="0" applyNumberFormat="1" applyFont="1" applyBorder="1" applyAlignment="1" applyProtection="1">
      <alignment horizontal="center" vertical="center" wrapText="1"/>
      <protection locked="0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4" fontId="18" fillId="0" borderId="2" xfId="0" applyNumberFormat="1" applyFont="1" applyBorder="1" applyAlignment="1">
      <alignment horizontal="center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14" fontId="18" fillId="0" borderId="4" xfId="0" applyNumberFormat="1" applyFont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22" fillId="0" borderId="0" xfId="2" applyFont="1" applyAlignment="1">
      <alignment horizontal="left" vertical="top" wrapText="1"/>
    </xf>
    <xf numFmtId="0" fontId="23" fillId="0" borderId="0" xfId="2" applyFont="1" applyAlignment="1">
      <alignment horizontal="left" vertical="top" wrapText="1"/>
    </xf>
    <xf numFmtId="0" fontId="23" fillId="0" borderId="16" xfId="2" applyFont="1" applyBorder="1" applyAlignment="1">
      <alignment horizontal="left" vertical="top" wrapText="1"/>
    </xf>
    <xf numFmtId="0" fontId="23" fillId="0" borderId="14" xfId="2" applyFont="1" applyBorder="1" applyAlignment="1">
      <alignment horizontal="left" vertical="top" wrapText="1"/>
    </xf>
    <xf numFmtId="0" fontId="23" fillId="0" borderId="15" xfId="2" applyFont="1" applyBorder="1" applyAlignment="1">
      <alignment horizontal="left" vertical="top" wrapText="1"/>
    </xf>
    <xf numFmtId="0" fontId="19" fillId="0" borderId="13" xfId="0" applyFont="1" applyBorder="1" applyAlignment="1" applyProtection="1">
      <alignment horizontal="center" vertical="center" wrapText="1"/>
      <protection locked="0"/>
    </xf>
  </cellXfs>
  <cellStyles count="3">
    <cellStyle name="Moeda" xfId="1" builtinId="4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155761</xdr:rowOff>
    </xdr:from>
    <xdr:to>
      <xdr:col>13</xdr:col>
      <xdr:colOff>9526</xdr:colOff>
      <xdr:row>61</xdr:row>
      <xdr:rowOff>79561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500467"/>
          <a:ext cx="10206879" cy="1487244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694765</xdr:colOff>
      <xdr:row>5</xdr:row>
      <xdr:rowOff>0</xdr:rowOff>
    </xdr:from>
    <xdr:to>
      <xdr:col>11</xdr:col>
      <xdr:colOff>1177888</xdr:colOff>
      <xdr:row>8</xdr:row>
      <xdr:rowOff>155729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3618" y="369793"/>
          <a:ext cx="1972235" cy="748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2:Y253"/>
  <sheetViews>
    <sheetView showGridLines="0" tabSelected="1" view="pageBreakPreview" topLeftCell="D13" zoomScale="85" zoomScaleNormal="85" zoomScaleSheetLayoutView="85" workbookViewId="0">
      <selection activeCell="E21" sqref="E21"/>
    </sheetView>
  </sheetViews>
  <sheetFormatPr defaultColWidth="9.08984375" defaultRowHeight="14" zeroHeight="1" x14ac:dyDescent="0.35"/>
  <cols>
    <col min="1" max="3" width="9.08984375" style="1" hidden="1" customWidth="1"/>
    <col min="4" max="4" width="1.90625" style="1" customWidth="1"/>
    <col min="5" max="5" width="15.36328125" style="1" customWidth="1"/>
    <col min="6" max="6" width="15.6328125" style="2" bestFit="1" customWidth="1"/>
    <col min="7" max="7" width="18.453125" style="1" customWidth="1"/>
    <col min="8" max="8" width="16.6328125" style="1" customWidth="1"/>
    <col min="9" max="9" width="36.36328125" style="1" customWidth="1"/>
    <col min="10" max="10" width="18.54296875" style="1" customWidth="1"/>
    <col min="11" max="11" width="3.6328125" style="1" customWidth="1"/>
    <col min="12" max="12" width="21.08984375" style="1" customWidth="1"/>
    <col min="13" max="13" width="4.6328125" style="1" customWidth="1"/>
    <col min="14" max="14" width="2" style="1" customWidth="1"/>
    <col min="15" max="15" width="11.90625" style="1" hidden="1" customWidth="1"/>
    <col min="16" max="16" width="9.54296875" style="1" hidden="1" customWidth="1"/>
    <col min="17" max="17" width="6.90625" style="1" hidden="1" customWidth="1"/>
    <col min="18" max="18" width="18.90625" style="1" hidden="1" customWidth="1"/>
    <col min="19" max="19" width="10.6328125" style="1" hidden="1" customWidth="1" collapsed="1"/>
    <col min="20" max="25" width="9.08984375" style="1" hidden="1" customWidth="1"/>
    <col min="26" max="26" width="3.54296875" style="1" customWidth="1"/>
    <col min="27" max="27" width="9.08984375" style="1" customWidth="1"/>
    <col min="28" max="16384" width="9.08984375" style="1"/>
  </cols>
  <sheetData>
    <row r="2" spans="5:19" hidden="1" x14ac:dyDescent="0.35">
      <c r="Q2" s="3">
        <v>40544</v>
      </c>
      <c r="R2" s="4" t="str">
        <f t="shared" ref="R2:R27" si="0">UPPER(TEXT(Q2,"mmmm "))&amp;" - "&amp;YEAR(Q2)</f>
        <v>JANEIRO  - 2011</v>
      </c>
    </row>
    <row r="3" spans="5:19" hidden="1" x14ac:dyDescent="0.3">
      <c r="P3" s="5"/>
      <c r="Q3" s="3">
        <v>46023</v>
      </c>
      <c r="R3" s="4" t="str">
        <f t="shared" ref="R3:R15" si="1">UPPER(TEXT(Q3,"mmmm "))&amp;" - "&amp;YEAR(Q3)</f>
        <v>JANEIRO  - 2026</v>
      </c>
    </row>
    <row r="4" spans="5:19" x14ac:dyDescent="0.3">
      <c r="P4" s="5"/>
      <c r="Q4" s="3">
        <v>46023</v>
      </c>
      <c r="R4" s="4" t="str">
        <f t="shared" si="1"/>
        <v>JANEIRO  - 2026</v>
      </c>
    </row>
    <row r="5" spans="5:19" x14ac:dyDescent="0.3">
      <c r="P5" s="5"/>
      <c r="Q5" s="3">
        <v>46054</v>
      </c>
      <c r="R5" s="4" t="str">
        <f t="shared" si="1"/>
        <v>FEVEREIRO  - 2026</v>
      </c>
    </row>
    <row r="6" spans="5:19" x14ac:dyDescent="0.35">
      <c r="E6" s="9"/>
      <c r="F6" s="9"/>
      <c r="G6" s="9"/>
      <c r="H6" s="9"/>
      <c r="I6" s="16"/>
      <c r="Q6" s="3">
        <v>46082</v>
      </c>
      <c r="R6" s="4" t="str">
        <f t="shared" si="1"/>
        <v>MARÇO  - 2026</v>
      </c>
    </row>
    <row r="7" spans="5:19" ht="15" customHeight="1" x14ac:dyDescent="0.35">
      <c r="E7" s="68" t="s">
        <v>15</v>
      </c>
      <c r="F7" s="69"/>
      <c r="G7" s="69"/>
      <c r="H7" s="69"/>
      <c r="I7" s="70"/>
      <c r="Q7" s="3">
        <v>46113</v>
      </c>
      <c r="R7" s="4" t="str">
        <f t="shared" si="1"/>
        <v>ABRIL  - 2026</v>
      </c>
      <c r="S7" s="6"/>
    </row>
    <row r="8" spans="5:19" x14ac:dyDescent="0.35">
      <c r="E8" s="69"/>
      <c r="F8" s="69"/>
      <c r="G8" s="69"/>
      <c r="H8" s="69"/>
      <c r="I8" s="70"/>
      <c r="Q8" s="3">
        <v>46143</v>
      </c>
      <c r="R8" s="4" t="str">
        <f t="shared" si="1"/>
        <v>MAIO  - 2026</v>
      </c>
    </row>
    <row r="9" spans="5:19" ht="14.5" thickBot="1" x14ac:dyDescent="0.4">
      <c r="E9" s="71"/>
      <c r="F9" s="71"/>
      <c r="G9" s="71"/>
      <c r="H9" s="71"/>
      <c r="I9" s="72"/>
      <c r="J9" s="15"/>
      <c r="K9" s="15"/>
      <c r="L9" s="15"/>
      <c r="M9" s="15"/>
      <c r="Q9" s="3">
        <v>46174</v>
      </c>
      <c r="R9" s="4" t="str">
        <f t="shared" si="1"/>
        <v>JUNHO  - 2026</v>
      </c>
    </row>
    <row r="10" spans="5:19" x14ac:dyDescent="0.35">
      <c r="Q10" s="3">
        <v>46204</v>
      </c>
      <c r="R10" s="4" t="str">
        <f t="shared" si="1"/>
        <v>JULHO  - 2026</v>
      </c>
    </row>
    <row r="11" spans="5:19" x14ac:dyDescent="0.35">
      <c r="Q11" s="3">
        <v>46235</v>
      </c>
      <c r="R11" s="4" t="str">
        <f t="shared" si="1"/>
        <v>AGOSTO  - 2026</v>
      </c>
    </row>
    <row r="12" spans="5:19" ht="32.25" hidden="1" customHeight="1" x14ac:dyDescent="0.35">
      <c r="E12" s="51" t="s">
        <v>9</v>
      </c>
      <c r="F12" s="52"/>
      <c r="G12" s="52"/>
      <c r="H12" s="53"/>
      <c r="I12" s="14"/>
      <c r="J12" s="13"/>
      <c r="K12" s="11"/>
      <c r="L12" s="11"/>
      <c r="M12" s="12"/>
      <c r="Q12" s="3">
        <v>46266</v>
      </c>
      <c r="R12" s="4" t="str">
        <f t="shared" si="1"/>
        <v>SETEMBRO  - 2026</v>
      </c>
    </row>
    <row r="13" spans="5:19" ht="23.25" customHeight="1" x14ac:dyDescent="0.35">
      <c r="E13" s="60" t="s">
        <v>1</v>
      </c>
      <c r="F13" s="60"/>
      <c r="G13" s="60"/>
      <c r="H13" s="60"/>
      <c r="I13" s="54"/>
      <c r="J13" s="55"/>
      <c r="K13" s="55"/>
      <c r="L13" s="55"/>
      <c r="M13" s="56"/>
      <c r="Q13" s="3">
        <v>46296</v>
      </c>
      <c r="R13" s="4" t="str">
        <f t="shared" si="1"/>
        <v>OUTUBRO  - 2026</v>
      </c>
    </row>
    <row r="14" spans="5:19" ht="23.25" customHeight="1" x14ac:dyDescent="0.35">
      <c r="E14" s="60" t="s">
        <v>13</v>
      </c>
      <c r="F14" s="60"/>
      <c r="G14" s="60"/>
      <c r="H14" s="60"/>
      <c r="I14" s="54"/>
      <c r="J14" s="55"/>
      <c r="K14" s="55"/>
      <c r="L14" s="55"/>
      <c r="M14" s="56"/>
      <c r="Q14" s="3">
        <v>46327</v>
      </c>
      <c r="R14" s="4" t="str">
        <f t="shared" si="1"/>
        <v>NOVEMBRO  - 2026</v>
      </c>
    </row>
    <row r="15" spans="5:19" ht="23.25" customHeight="1" x14ac:dyDescent="0.35">
      <c r="E15" s="60" t="s">
        <v>14</v>
      </c>
      <c r="F15" s="60"/>
      <c r="G15" s="60"/>
      <c r="H15" s="60"/>
      <c r="I15" s="54"/>
      <c r="J15" s="55"/>
      <c r="K15" s="55"/>
      <c r="L15" s="55"/>
      <c r="M15" s="56"/>
      <c r="Q15" s="3">
        <v>46357</v>
      </c>
      <c r="R15" s="4" t="str">
        <f t="shared" si="1"/>
        <v>DEZEMBRO  - 2026</v>
      </c>
    </row>
    <row r="16" spans="5:19" ht="23.25" customHeight="1" x14ac:dyDescent="0.35">
      <c r="E16" s="60" t="s">
        <v>5</v>
      </c>
      <c r="F16" s="60"/>
      <c r="G16" s="60"/>
      <c r="H16" s="60"/>
      <c r="I16" s="48" t="s">
        <v>16</v>
      </c>
      <c r="J16" s="49"/>
      <c r="K16" s="49"/>
      <c r="L16" s="49"/>
      <c r="M16" s="50"/>
      <c r="Q16" s="3">
        <v>46388</v>
      </c>
      <c r="R16" s="4" t="str">
        <f t="shared" si="0"/>
        <v>JANEIRO  - 2027</v>
      </c>
    </row>
    <row r="17" spans="5:20" ht="26.25" customHeight="1" x14ac:dyDescent="0.35">
      <c r="E17" s="60" t="s">
        <v>6</v>
      </c>
      <c r="F17" s="60"/>
      <c r="G17" s="60"/>
      <c r="H17" s="60"/>
      <c r="I17" s="31">
        <f>O20</f>
        <v>46082</v>
      </c>
      <c r="J17" s="32" t="s">
        <v>4</v>
      </c>
      <c r="K17" s="33"/>
      <c r="L17" s="34">
        <f>MAX(O20:O50)</f>
        <v>46112</v>
      </c>
      <c r="M17" s="35"/>
      <c r="Q17" s="3">
        <v>46419</v>
      </c>
      <c r="R17" s="4" t="str">
        <f t="shared" si="0"/>
        <v>FEVEREIRO  - 2027</v>
      </c>
    </row>
    <row r="18" spans="5:20" ht="13.5" customHeight="1" x14ac:dyDescent="0.35">
      <c r="E18" s="36"/>
      <c r="F18" s="37"/>
      <c r="G18" s="36"/>
      <c r="H18" s="36"/>
      <c r="I18" s="36"/>
      <c r="J18" s="36"/>
      <c r="K18" s="36"/>
      <c r="L18" s="36"/>
      <c r="M18" s="36"/>
      <c r="Q18" s="3">
        <v>46447</v>
      </c>
      <c r="R18" s="4" t="str">
        <f t="shared" si="0"/>
        <v>MARÇO  - 2027</v>
      </c>
    </row>
    <row r="19" spans="5:20" ht="20.25" customHeight="1" x14ac:dyDescent="0.35">
      <c r="E19" s="25" t="s">
        <v>0</v>
      </c>
      <c r="F19" s="25" t="s">
        <v>7</v>
      </c>
      <c r="G19" s="57" t="s">
        <v>11</v>
      </c>
      <c r="H19" s="58"/>
      <c r="I19" s="59" t="s">
        <v>12</v>
      </c>
      <c r="J19" s="59"/>
      <c r="K19" s="59"/>
      <c r="L19" s="59"/>
      <c r="M19" s="59"/>
      <c r="Q19" s="3">
        <v>46478</v>
      </c>
      <c r="R19" s="4" t="str">
        <f t="shared" si="0"/>
        <v>ABRIL  - 2027</v>
      </c>
    </row>
    <row r="20" spans="5:20" ht="26.15" customHeight="1" x14ac:dyDescent="0.35">
      <c r="E20" s="64" t="str">
        <f>I16</f>
        <v>MARÇO  - 2026</v>
      </c>
      <c r="F20" s="65"/>
      <c r="G20" s="65"/>
      <c r="H20" s="65"/>
      <c r="I20" s="65"/>
      <c r="J20" s="65"/>
      <c r="K20" s="65"/>
      <c r="L20" s="65"/>
      <c r="M20" s="66"/>
      <c r="O20" s="7">
        <f>E20+Y231</f>
        <v>46082</v>
      </c>
      <c r="Q20" s="3">
        <v>46508</v>
      </c>
      <c r="R20" s="4" t="str">
        <f t="shared" si="0"/>
        <v>MAIO  - 2027</v>
      </c>
      <c r="S20" s="1" t="str">
        <f t="shared" ref="S20:S50" si="2">IF(F21&lt;0,F21,"")</f>
        <v/>
      </c>
      <c r="T20" s="1" t="str">
        <f t="shared" ref="T20:T50" si="3">IF(F21&gt;0,F21,"")</f>
        <v/>
      </c>
    </row>
    <row r="21" spans="5:20" ht="26.15" customHeight="1" x14ac:dyDescent="0.35">
      <c r="E21" s="26"/>
      <c r="F21" s="27"/>
      <c r="G21" s="61"/>
      <c r="H21" s="62"/>
      <c r="I21" s="63"/>
      <c r="J21" s="63"/>
      <c r="K21" s="63"/>
      <c r="L21" s="63"/>
      <c r="M21" s="62"/>
      <c r="O21" s="8">
        <f>E20+1</f>
        <v>46083</v>
      </c>
      <c r="Q21" s="3">
        <v>46539</v>
      </c>
      <c r="R21" s="4" t="str">
        <f t="shared" si="0"/>
        <v>JUNHO  - 2027</v>
      </c>
      <c r="S21" s="1" t="str">
        <f t="shared" si="2"/>
        <v/>
      </c>
      <c r="T21" s="1" t="str">
        <f t="shared" si="3"/>
        <v/>
      </c>
    </row>
    <row r="22" spans="5:20" ht="26.15" customHeight="1" x14ac:dyDescent="0.35">
      <c r="E22" s="26"/>
      <c r="F22" s="27"/>
      <c r="G22" s="61"/>
      <c r="H22" s="62"/>
      <c r="I22" s="63"/>
      <c r="J22" s="63"/>
      <c r="K22" s="63"/>
      <c r="L22" s="63"/>
      <c r="M22" s="62"/>
      <c r="O22" s="8">
        <f>O21+1</f>
        <v>46084</v>
      </c>
      <c r="Q22" s="3">
        <v>46569</v>
      </c>
      <c r="R22" s="4" t="str">
        <f t="shared" si="0"/>
        <v>JULHO  - 2027</v>
      </c>
      <c r="S22" s="1" t="str">
        <f t="shared" si="2"/>
        <v/>
      </c>
      <c r="T22" s="1" t="str">
        <f t="shared" si="3"/>
        <v/>
      </c>
    </row>
    <row r="23" spans="5:20" ht="26.15" customHeight="1" x14ac:dyDescent="0.35">
      <c r="E23" s="26"/>
      <c r="F23" s="27"/>
      <c r="G23" s="61"/>
      <c r="H23" s="62"/>
      <c r="I23" s="63"/>
      <c r="J23" s="63"/>
      <c r="K23" s="63"/>
      <c r="L23" s="63"/>
      <c r="M23" s="62"/>
      <c r="O23" s="8">
        <f>O22+1</f>
        <v>46085</v>
      </c>
      <c r="Q23" s="3">
        <v>46600</v>
      </c>
      <c r="R23" s="4" t="str">
        <f t="shared" si="0"/>
        <v>AGOSTO  - 2027</v>
      </c>
      <c r="S23" s="1" t="str">
        <f t="shared" si="2"/>
        <v/>
      </c>
      <c r="T23" s="1" t="str">
        <f t="shared" si="3"/>
        <v/>
      </c>
    </row>
    <row r="24" spans="5:20" ht="26.15" customHeight="1" x14ac:dyDescent="0.35">
      <c r="E24" s="26"/>
      <c r="F24" s="27"/>
      <c r="G24" s="61"/>
      <c r="H24" s="62"/>
      <c r="I24" s="63"/>
      <c r="J24" s="63"/>
      <c r="K24" s="63"/>
      <c r="L24" s="63"/>
      <c r="M24" s="62"/>
      <c r="O24" s="8">
        <f t="shared" ref="O24:O44" si="4">O23+1</f>
        <v>46086</v>
      </c>
      <c r="Q24" s="3">
        <v>46631</v>
      </c>
      <c r="R24" s="4" t="str">
        <f t="shared" si="0"/>
        <v>SETEMBRO  - 2027</v>
      </c>
      <c r="S24" s="1" t="str">
        <f t="shared" si="2"/>
        <v/>
      </c>
      <c r="T24" s="1" t="str">
        <f t="shared" si="3"/>
        <v/>
      </c>
    </row>
    <row r="25" spans="5:20" ht="26.15" customHeight="1" x14ac:dyDescent="0.35">
      <c r="E25" s="26"/>
      <c r="F25" s="27"/>
      <c r="G25" s="61"/>
      <c r="H25" s="62"/>
      <c r="I25" s="63"/>
      <c r="J25" s="63"/>
      <c r="K25" s="63"/>
      <c r="L25" s="63"/>
      <c r="M25" s="62"/>
      <c r="O25" s="8">
        <f t="shared" si="4"/>
        <v>46087</v>
      </c>
      <c r="Q25" s="3">
        <v>46661</v>
      </c>
      <c r="R25" s="4" t="str">
        <f t="shared" si="0"/>
        <v>OUTUBRO  - 2027</v>
      </c>
      <c r="S25" s="1" t="str">
        <f t="shared" si="2"/>
        <v/>
      </c>
      <c r="T25" s="1" t="str">
        <f t="shared" si="3"/>
        <v/>
      </c>
    </row>
    <row r="26" spans="5:20" ht="26.15" customHeight="1" x14ac:dyDescent="0.35">
      <c r="E26" s="26"/>
      <c r="F26" s="27"/>
      <c r="G26" s="61"/>
      <c r="H26" s="62"/>
      <c r="I26" s="63"/>
      <c r="J26" s="63"/>
      <c r="K26" s="63"/>
      <c r="L26" s="63"/>
      <c r="M26" s="62"/>
      <c r="O26" s="8">
        <f t="shared" si="4"/>
        <v>46088</v>
      </c>
      <c r="Q26" s="3">
        <v>46692</v>
      </c>
      <c r="R26" s="4" t="str">
        <f t="shared" si="0"/>
        <v>NOVEMBRO  - 2027</v>
      </c>
      <c r="S26" s="1" t="str">
        <f t="shared" si="2"/>
        <v/>
      </c>
      <c r="T26" s="1" t="str">
        <f t="shared" si="3"/>
        <v/>
      </c>
    </row>
    <row r="27" spans="5:20" ht="26.15" customHeight="1" x14ac:dyDescent="0.35">
      <c r="E27" s="26"/>
      <c r="F27" s="27"/>
      <c r="G27" s="61"/>
      <c r="H27" s="62"/>
      <c r="I27" s="63"/>
      <c r="J27" s="63"/>
      <c r="K27" s="63"/>
      <c r="L27" s="63"/>
      <c r="M27" s="62"/>
      <c r="O27" s="8">
        <f t="shared" si="4"/>
        <v>46089</v>
      </c>
      <c r="Q27" s="3">
        <v>46722</v>
      </c>
      <c r="R27" s="4" t="str">
        <f t="shared" si="0"/>
        <v>DEZEMBRO  - 2027</v>
      </c>
      <c r="S27" s="1" t="str">
        <f t="shared" si="2"/>
        <v/>
      </c>
      <c r="T27" s="1" t="str">
        <f t="shared" si="3"/>
        <v/>
      </c>
    </row>
    <row r="28" spans="5:20" ht="26.15" customHeight="1" x14ac:dyDescent="0.35">
      <c r="E28" s="26"/>
      <c r="F28" s="27"/>
      <c r="G28" s="61"/>
      <c r="H28" s="62"/>
      <c r="I28" s="63"/>
      <c r="J28" s="63"/>
      <c r="K28" s="63"/>
      <c r="L28" s="63"/>
      <c r="M28" s="62"/>
      <c r="O28" s="8">
        <f t="shared" si="4"/>
        <v>46090</v>
      </c>
      <c r="Q28" s="3"/>
      <c r="R28" s="4"/>
      <c r="S28" s="1" t="str">
        <f t="shared" si="2"/>
        <v/>
      </c>
      <c r="T28" s="1" t="str">
        <f t="shared" si="3"/>
        <v/>
      </c>
    </row>
    <row r="29" spans="5:20" ht="26.15" customHeight="1" x14ac:dyDescent="0.35">
      <c r="E29" s="26"/>
      <c r="F29" s="27"/>
      <c r="G29" s="67"/>
      <c r="H29" s="67"/>
      <c r="I29" s="63"/>
      <c r="J29" s="63"/>
      <c r="K29" s="63"/>
      <c r="L29" s="63"/>
      <c r="M29" s="62"/>
      <c r="O29" s="8">
        <f t="shared" si="4"/>
        <v>46091</v>
      </c>
      <c r="Q29" s="3"/>
      <c r="R29" s="4"/>
      <c r="S29" s="1" t="str">
        <f t="shared" si="2"/>
        <v/>
      </c>
      <c r="T29" s="1" t="str">
        <f t="shared" si="3"/>
        <v/>
      </c>
    </row>
    <row r="30" spans="5:20" ht="26.15" customHeight="1" x14ac:dyDescent="0.35">
      <c r="E30" s="26"/>
      <c r="F30" s="27"/>
      <c r="G30" s="67"/>
      <c r="H30" s="67"/>
      <c r="I30" s="67"/>
      <c r="J30" s="67"/>
      <c r="K30" s="67"/>
      <c r="L30" s="67"/>
      <c r="M30" s="67"/>
      <c r="O30" s="8">
        <f t="shared" si="4"/>
        <v>46092</v>
      </c>
      <c r="Q30" s="3"/>
      <c r="R30" s="4"/>
      <c r="S30" s="1" t="str">
        <f t="shared" si="2"/>
        <v/>
      </c>
      <c r="T30" s="1" t="str">
        <f t="shared" si="3"/>
        <v/>
      </c>
    </row>
    <row r="31" spans="5:20" ht="26.15" customHeight="1" x14ac:dyDescent="0.35">
      <c r="E31" s="26"/>
      <c r="F31" s="27"/>
      <c r="G31" s="67"/>
      <c r="H31" s="67"/>
      <c r="I31" s="67"/>
      <c r="J31" s="67"/>
      <c r="K31" s="67"/>
      <c r="L31" s="67"/>
      <c r="M31" s="67"/>
      <c r="O31" s="8">
        <f t="shared" si="4"/>
        <v>46093</v>
      </c>
      <c r="Q31" s="3"/>
      <c r="R31" s="4"/>
      <c r="S31" s="1" t="str">
        <f t="shared" si="2"/>
        <v/>
      </c>
      <c r="T31" s="1" t="str">
        <f t="shared" si="3"/>
        <v/>
      </c>
    </row>
    <row r="32" spans="5:20" ht="26.15" customHeight="1" x14ac:dyDescent="0.35">
      <c r="E32" s="26"/>
      <c r="F32" s="27"/>
      <c r="G32" s="67"/>
      <c r="H32" s="67"/>
      <c r="I32" s="67"/>
      <c r="J32" s="67"/>
      <c r="K32" s="67"/>
      <c r="L32" s="67"/>
      <c r="M32" s="67"/>
      <c r="O32" s="8">
        <f t="shared" si="4"/>
        <v>46094</v>
      </c>
      <c r="Q32" s="3"/>
      <c r="R32" s="4"/>
      <c r="S32" s="1" t="str">
        <f t="shared" si="2"/>
        <v/>
      </c>
      <c r="T32" s="1" t="str">
        <f t="shared" si="3"/>
        <v/>
      </c>
    </row>
    <row r="33" spans="5:20" ht="26.15" customHeight="1" x14ac:dyDescent="0.35">
      <c r="E33" s="26"/>
      <c r="F33" s="27"/>
      <c r="G33" s="67"/>
      <c r="H33" s="67"/>
      <c r="I33" s="67"/>
      <c r="J33" s="67"/>
      <c r="K33" s="67"/>
      <c r="L33" s="67"/>
      <c r="M33" s="67"/>
      <c r="O33" s="8">
        <f t="shared" si="4"/>
        <v>46095</v>
      </c>
      <c r="Q33" s="3"/>
      <c r="R33" s="4"/>
      <c r="S33" s="1" t="str">
        <f t="shared" si="2"/>
        <v/>
      </c>
      <c r="T33" s="1" t="str">
        <f t="shared" si="3"/>
        <v/>
      </c>
    </row>
    <row r="34" spans="5:20" ht="26.15" customHeight="1" x14ac:dyDescent="0.35">
      <c r="E34" s="26"/>
      <c r="F34" s="27"/>
      <c r="G34" s="67"/>
      <c r="H34" s="67"/>
      <c r="I34" s="67"/>
      <c r="J34" s="67"/>
      <c r="K34" s="67"/>
      <c r="L34" s="67"/>
      <c r="M34" s="67"/>
      <c r="O34" s="8">
        <f t="shared" si="4"/>
        <v>46096</v>
      </c>
      <c r="Q34" s="3"/>
      <c r="R34" s="4"/>
      <c r="S34" s="1" t="str">
        <f t="shared" si="2"/>
        <v/>
      </c>
      <c r="T34" s="1" t="str">
        <f t="shared" si="3"/>
        <v/>
      </c>
    </row>
    <row r="35" spans="5:20" ht="26.15" customHeight="1" x14ac:dyDescent="0.35">
      <c r="E35" s="26"/>
      <c r="F35" s="27"/>
      <c r="G35" s="67"/>
      <c r="H35" s="67"/>
      <c r="I35" s="67"/>
      <c r="J35" s="67"/>
      <c r="K35" s="67"/>
      <c r="L35" s="67"/>
      <c r="M35" s="67"/>
      <c r="O35" s="8">
        <f t="shared" si="4"/>
        <v>46097</v>
      </c>
      <c r="Q35" s="3"/>
      <c r="R35" s="4"/>
      <c r="S35" s="1" t="str">
        <f t="shared" si="2"/>
        <v/>
      </c>
      <c r="T35" s="1" t="str">
        <f t="shared" si="3"/>
        <v/>
      </c>
    </row>
    <row r="36" spans="5:20" ht="26.15" customHeight="1" x14ac:dyDescent="0.35">
      <c r="E36" s="26"/>
      <c r="F36" s="27"/>
      <c r="G36" s="67"/>
      <c r="H36" s="67"/>
      <c r="I36" s="67"/>
      <c r="J36" s="67"/>
      <c r="K36" s="67"/>
      <c r="L36" s="67"/>
      <c r="M36" s="67"/>
      <c r="O36" s="8">
        <f t="shared" si="4"/>
        <v>46098</v>
      </c>
      <c r="Q36" s="3"/>
      <c r="R36" s="4"/>
      <c r="S36" s="1" t="str">
        <f t="shared" si="2"/>
        <v/>
      </c>
      <c r="T36" s="1" t="str">
        <f t="shared" si="3"/>
        <v/>
      </c>
    </row>
    <row r="37" spans="5:20" ht="26.15" customHeight="1" x14ac:dyDescent="0.35">
      <c r="E37" s="26"/>
      <c r="F37" s="27"/>
      <c r="G37" s="67"/>
      <c r="H37" s="67"/>
      <c r="I37" s="67"/>
      <c r="J37" s="67"/>
      <c r="K37" s="67"/>
      <c r="L37" s="67"/>
      <c r="M37" s="67"/>
      <c r="O37" s="8">
        <f t="shared" si="4"/>
        <v>46099</v>
      </c>
      <c r="Q37" s="3"/>
      <c r="R37" s="4"/>
      <c r="S37" s="1" t="str">
        <f t="shared" si="2"/>
        <v/>
      </c>
      <c r="T37" s="1" t="str">
        <f t="shared" si="3"/>
        <v/>
      </c>
    </row>
    <row r="38" spans="5:20" ht="26.15" customHeight="1" x14ac:dyDescent="0.35">
      <c r="E38" s="26"/>
      <c r="F38" s="27"/>
      <c r="G38" s="67"/>
      <c r="H38" s="67"/>
      <c r="I38" s="67"/>
      <c r="J38" s="67"/>
      <c r="K38" s="67"/>
      <c r="L38" s="67"/>
      <c r="M38" s="67"/>
      <c r="O38" s="8">
        <f t="shared" si="4"/>
        <v>46100</v>
      </c>
      <c r="Q38" s="3"/>
      <c r="R38" s="4"/>
      <c r="S38" s="1" t="str">
        <f t="shared" si="2"/>
        <v/>
      </c>
      <c r="T38" s="1" t="str">
        <f t="shared" si="3"/>
        <v/>
      </c>
    </row>
    <row r="39" spans="5:20" ht="26.15" customHeight="1" x14ac:dyDescent="0.35">
      <c r="E39" s="26"/>
      <c r="F39" s="27"/>
      <c r="G39" s="67"/>
      <c r="H39" s="67"/>
      <c r="I39" s="67"/>
      <c r="J39" s="67"/>
      <c r="K39" s="67"/>
      <c r="L39" s="67"/>
      <c r="M39" s="67"/>
      <c r="O39" s="8">
        <f t="shared" si="4"/>
        <v>46101</v>
      </c>
      <c r="Q39" s="3"/>
      <c r="R39" s="4"/>
      <c r="S39" s="1" t="str">
        <f t="shared" si="2"/>
        <v/>
      </c>
      <c r="T39" s="1" t="str">
        <f t="shared" si="3"/>
        <v/>
      </c>
    </row>
    <row r="40" spans="5:20" ht="26.15" customHeight="1" x14ac:dyDescent="0.35">
      <c r="E40" s="26"/>
      <c r="F40" s="27"/>
      <c r="G40" s="67"/>
      <c r="H40" s="67"/>
      <c r="I40" s="67"/>
      <c r="J40" s="67"/>
      <c r="K40" s="67"/>
      <c r="L40" s="67"/>
      <c r="M40" s="67"/>
      <c r="O40" s="8">
        <f t="shared" si="4"/>
        <v>46102</v>
      </c>
      <c r="Q40" s="3"/>
      <c r="R40" s="4"/>
      <c r="S40" s="1" t="str">
        <f t="shared" si="2"/>
        <v/>
      </c>
      <c r="T40" s="1" t="str">
        <f t="shared" si="3"/>
        <v/>
      </c>
    </row>
    <row r="41" spans="5:20" ht="26.15" customHeight="1" x14ac:dyDescent="0.35">
      <c r="E41" s="26"/>
      <c r="F41" s="27"/>
      <c r="G41" s="67"/>
      <c r="H41" s="67"/>
      <c r="I41" s="67"/>
      <c r="J41" s="67"/>
      <c r="K41" s="67"/>
      <c r="L41" s="67"/>
      <c r="M41" s="67"/>
      <c r="O41" s="8">
        <f t="shared" si="4"/>
        <v>46103</v>
      </c>
      <c r="Q41" s="3"/>
      <c r="R41" s="4"/>
      <c r="S41" s="1" t="str">
        <f t="shared" si="2"/>
        <v/>
      </c>
      <c r="T41" s="1" t="str">
        <f t="shared" si="3"/>
        <v/>
      </c>
    </row>
    <row r="42" spans="5:20" ht="26.15" customHeight="1" x14ac:dyDescent="0.35">
      <c r="E42" s="26"/>
      <c r="F42" s="27"/>
      <c r="G42" s="67"/>
      <c r="H42" s="67"/>
      <c r="I42" s="67"/>
      <c r="J42" s="67"/>
      <c r="K42" s="67"/>
      <c r="L42" s="67"/>
      <c r="M42" s="67"/>
      <c r="O42" s="8">
        <f t="shared" si="4"/>
        <v>46104</v>
      </c>
      <c r="Q42" s="3"/>
      <c r="R42" s="4"/>
      <c r="S42" s="1" t="str">
        <f t="shared" si="2"/>
        <v/>
      </c>
      <c r="T42" s="1" t="str">
        <f t="shared" si="3"/>
        <v/>
      </c>
    </row>
    <row r="43" spans="5:20" ht="26.15" customHeight="1" x14ac:dyDescent="0.35">
      <c r="E43" s="26"/>
      <c r="F43" s="27"/>
      <c r="G43" s="67"/>
      <c r="H43" s="67"/>
      <c r="I43" s="67"/>
      <c r="J43" s="67"/>
      <c r="K43" s="67"/>
      <c r="L43" s="67"/>
      <c r="M43" s="67"/>
      <c r="O43" s="8">
        <f t="shared" si="4"/>
        <v>46105</v>
      </c>
      <c r="Q43" s="3"/>
      <c r="R43" s="4"/>
      <c r="S43" s="1" t="str">
        <f t="shared" si="2"/>
        <v/>
      </c>
      <c r="T43" s="1" t="str">
        <f t="shared" si="3"/>
        <v/>
      </c>
    </row>
    <row r="44" spans="5:20" ht="26.15" customHeight="1" x14ac:dyDescent="0.35">
      <c r="E44" s="26"/>
      <c r="F44" s="27"/>
      <c r="G44" s="67"/>
      <c r="H44" s="67"/>
      <c r="I44" s="67"/>
      <c r="J44" s="67"/>
      <c r="K44" s="67"/>
      <c r="L44" s="67"/>
      <c r="M44" s="67"/>
      <c r="O44" s="8">
        <f t="shared" si="4"/>
        <v>46106</v>
      </c>
      <c r="Q44" s="3"/>
      <c r="R44" s="4"/>
      <c r="S44" s="1" t="str">
        <f t="shared" si="2"/>
        <v/>
      </c>
      <c r="T44" s="1" t="str">
        <f t="shared" si="3"/>
        <v/>
      </c>
    </row>
    <row r="45" spans="5:20" ht="26.15" customHeight="1" x14ac:dyDescent="0.35">
      <c r="E45" s="26"/>
      <c r="F45" s="27"/>
      <c r="G45" s="67"/>
      <c r="H45" s="67"/>
      <c r="I45" s="67"/>
      <c r="J45" s="67"/>
      <c r="K45" s="67"/>
      <c r="L45" s="67"/>
      <c r="M45" s="67"/>
      <c r="O45" s="8">
        <f>O44+1</f>
        <v>46107</v>
      </c>
      <c r="Q45" s="3"/>
      <c r="R45" s="4"/>
      <c r="S45" s="1" t="str">
        <f t="shared" si="2"/>
        <v/>
      </c>
      <c r="T45" s="1" t="str">
        <f t="shared" si="3"/>
        <v/>
      </c>
    </row>
    <row r="46" spans="5:20" ht="26.15" customHeight="1" x14ac:dyDescent="0.35">
      <c r="E46" s="26"/>
      <c r="F46" s="27"/>
      <c r="G46" s="67"/>
      <c r="H46" s="67"/>
      <c r="I46" s="67"/>
      <c r="J46" s="67"/>
      <c r="K46" s="67"/>
      <c r="L46" s="67"/>
      <c r="M46" s="67"/>
      <c r="O46" s="8">
        <f>IF(O45="","",IF(DAY(O45+1)&lt;=30,O45+1,""))</f>
        <v>46108</v>
      </c>
      <c r="Q46" s="3"/>
      <c r="R46" s="4"/>
      <c r="S46" s="1" t="str">
        <f t="shared" si="2"/>
        <v/>
      </c>
      <c r="T46" s="1" t="str">
        <f t="shared" si="3"/>
        <v/>
      </c>
    </row>
    <row r="47" spans="5:20" ht="26.15" customHeight="1" x14ac:dyDescent="0.35">
      <c r="E47" s="26"/>
      <c r="F47" s="27"/>
      <c r="G47" s="67"/>
      <c r="H47" s="67"/>
      <c r="I47" s="67"/>
      <c r="J47" s="67"/>
      <c r="K47" s="67"/>
      <c r="L47" s="67"/>
      <c r="M47" s="67"/>
      <c r="O47" s="8">
        <f>IF(O46="","",IF(DAY(O46+1)&lt;=30,O46+1,""))</f>
        <v>46109</v>
      </c>
      <c r="Q47" s="3"/>
      <c r="R47" s="4"/>
      <c r="S47" s="1" t="str">
        <f t="shared" si="2"/>
        <v/>
      </c>
      <c r="T47" s="1" t="str">
        <f t="shared" si="3"/>
        <v/>
      </c>
    </row>
    <row r="48" spans="5:20" ht="26.15" customHeight="1" x14ac:dyDescent="0.35">
      <c r="E48" s="26"/>
      <c r="F48" s="27"/>
      <c r="G48" s="67"/>
      <c r="H48" s="67"/>
      <c r="I48" s="67"/>
      <c r="J48" s="67"/>
      <c r="K48" s="67"/>
      <c r="L48" s="67"/>
      <c r="M48" s="67"/>
      <c r="O48" s="8">
        <f>IF(O47="","",IF(DAY(O47+1)&gt;=28,O47+1,""))</f>
        <v>46110</v>
      </c>
      <c r="Q48" s="3"/>
      <c r="R48" s="4"/>
      <c r="S48" s="1" t="str">
        <f t="shared" si="2"/>
        <v/>
      </c>
      <c r="T48" s="1" t="str">
        <f t="shared" si="3"/>
        <v/>
      </c>
    </row>
    <row r="49" spans="5:20" ht="26.15" customHeight="1" x14ac:dyDescent="0.35">
      <c r="E49" s="26"/>
      <c r="F49" s="27"/>
      <c r="G49" s="67"/>
      <c r="H49" s="67"/>
      <c r="I49" s="67"/>
      <c r="J49" s="67"/>
      <c r="K49" s="67"/>
      <c r="L49" s="67"/>
      <c r="M49" s="67"/>
      <c r="O49" s="8">
        <f>IF(O48="","",IF(DAY(O48+1)&gt;=30,O48+1,""))</f>
        <v>46111</v>
      </c>
      <c r="Q49" s="3"/>
      <c r="R49" s="4"/>
      <c r="S49" s="1" t="str">
        <f t="shared" si="2"/>
        <v/>
      </c>
      <c r="T49" s="1" t="str">
        <f t="shared" si="3"/>
        <v/>
      </c>
    </row>
    <row r="50" spans="5:20" ht="26.15" customHeight="1" x14ac:dyDescent="0.35">
      <c r="E50" s="26"/>
      <c r="F50" s="27"/>
      <c r="G50" s="67"/>
      <c r="H50" s="67"/>
      <c r="I50" s="67"/>
      <c r="J50" s="67"/>
      <c r="K50" s="67"/>
      <c r="L50" s="67"/>
      <c r="M50" s="67"/>
      <c r="O50" s="8">
        <f>IF(O49="","",IF(DAY(O49+1)&gt;=30,O49+1,""))</f>
        <v>46112</v>
      </c>
      <c r="Q50" s="3"/>
      <c r="R50" s="4"/>
      <c r="S50" s="1" t="str">
        <f t="shared" si="2"/>
        <v/>
      </c>
      <c r="T50" s="1" t="str">
        <f t="shared" si="3"/>
        <v/>
      </c>
    </row>
    <row r="51" spans="5:20" ht="15.5" x14ac:dyDescent="0.35">
      <c r="E51" s="26"/>
      <c r="F51" s="27"/>
      <c r="G51" s="73"/>
      <c r="H51" s="73"/>
      <c r="I51" s="73"/>
      <c r="J51" s="73"/>
      <c r="K51" s="73"/>
      <c r="L51" s="73"/>
      <c r="M51" s="73"/>
      <c r="Q51" s="3"/>
      <c r="R51" s="4"/>
    </row>
    <row r="52" spans="5:20" ht="31.5" customHeight="1" x14ac:dyDescent="0.35">
      <c r="E52" s="29" t="s">
        <v>10</v>
      </c>
      <c r="F52" s="17" t="str">
        <f>IF(SUM(F21:F51)=0,"",SUM(F21:F50))</f>
        <v/>
      </c>
      <c r="G52" s="28"/>
      <c r="H52" s="18"/>
      <c r="I52" s="19"/>
      <c r="J52" s="39"/>
      <c r="K52" s="40"/>
      <c r="L52" s="40"/>
      <c r="M52" s="40"/>
      <c r="Q52" s="3"/>
      <c r="R52" s="4"/>
    </row>
    <row r="53" spans="5:20" ht="25.5" customHeight="1" x14ac:dyDescent="0.35">
      <c r="E53" s="20"/>
      <c r="F53" s="21"/>
      <c r="G53" s="20"/>
      <c r="H53" s="20"/>
      <c r="I53" s="20"/>
      <c r="J53" s="20"/>
      <c r="K53" s="20"/>
      <c r="L53" s="20"/>
      <c r="M53" s="20"/>
      <c r="Q53" s="3"/>
      <c r="R53" s="4"/>
    </row>
    <row r="54" spans="5:20" ht="18" x14ac:dyDescent="0.35">
      <c r="E54" s="41" t="s">
        <v>2</v>
      </c>
      <c r="F54" s="42"/>
      <c r="G54" s="42"/>
      <c r="H54" s="42"/>
      <c r="I54" s="42"/>
      <c r="J54" s="42"/>
      <c r="K54" s="42"/>
      <c r="L54" s="43"/>
      <c r="M54" s="22"/>
      <c r="Q54" s="3"/>
      <c r="R54" s="4"/>
    </row>
    <row r="55" spans="5:20" ht="32.4" customHeight="1" x14ac:dyDescent="0.35">
      <c r="E55" s="44" t="s">
        <v>18</v>
      </c>
      <c r="F55" s="45"/>
      <c r="G55" s="45"/>
      <c r="H55" s="45"/>
      <c r="I55" s="45"/>
      <c r="J55" s="45"/>
      <c r="K55" s="45"/>
      <c r="L55" s="46"/>
      <c r="M55" s="23"/>
      <c r="Q55" s="3"/>
      <c r="R55" s="4"/>
    </row>
    <row r="56" spans="5:20" ht="17.5" x14ac:dyDescent="0.35">
      <c r="E56" s="44" t="s">
        <v>19</v>
      </c>
      <c r="F56" s="45"/>
      <c r="G56" s="45"/>
      <c r="H56" s="45"/>
      <c r="I56" s="45"/>
      <c r="J56" s="45"/>
      <c r="K56" s="45"/>
      <c r="L56" s="46"/>
      <c r="M56" s="23"/>
      <c r="Q56" s="3"/>
      <c r="R56" s="4"/>
    </row>
    <row r="57" spans="5:20" ht="18" customHeight="1" x14ac:dyDescent="0.35">
      <c r="E57" s="44" t="s">
        <v>20</v>
      </c>
      <c r="F57" s="45"/>
      <c r="G57" s="45"/>
      <c r="H57" s="45"/>
      <c r="I57" s="45"/>
      <c r="J57" s="45"/>
      <c r="K57" s="45"/>
      <c r="L57" s="46"/>
      <c r="M57" s="23"/>
      <c r="O57" s="9"/>
      <c r="Q57" s="3"/>
      <c r="R57" s="4"/>
    </row>
    <row r="58" spans="5:20" ht="18" customHeight="1" x14ac:dyDescent="0.35">
      <c r="E58" s="30"/>
      <c r="F58" s="30"/>
      <c r="G58" s="30"/>
      <c r="H58" s="30"/>
      <c r="I58" s="30"/>
      <c r="J58" s="30"/>
      <c r="K58" s="30"/>
      <c r="L58" s="30"/>
      <c r="M58" s="23"/>
      <c r="O58" s="9"/>
      <c r="Q58" s="3"/>
      <c r="R58" s="4"/>
    </row>
    <row r="59" spans="5:20" ht="18" customHeight="1" x14ac:dyDescent="0.35">
      <c r="E59" s="30"/>
      <c r="F59" s="30"/>
      <c r="G59" s="30"/>
      <c r="H59" s="30"/>
      <c r="I59" s="30"/>
      <c r="J59" s="30"/>
      <c r="K59" s="30"/>
      <c r="L59" s="30"/>
      <c r="M59" s="23"/>
      <c r="O59" s="9"/>
      <c r="Q59" s="3"/>
      <c r="R59" s="4"/>
    </row>
    <row r="60" spans="5:20" ht="16.25" customHeight="1" x14ac:dyDescent="0.3">
      <c r="E60" s="47" t="s">
        <v>8</v>
      </c>
      <c r="F60" s="47"/>
      <c r="G60" s="47"/>
      <c r="H60" s="20"/>
      <c r="I60" s="20"/>
      <c r="J60" s="47" t="s">
        <v>8</v>
      </c>
      <c r="K60" s="47"/>
      <c r="L60" s="47"/>
      <c r="M60" s="20"/>
      <c r="N60" s="9"/>
      <c r="O60" s="10"/>
      <c r="Q60" s="3"/>
      <c r="R60" s="4"/>
    </row>
    <row r="61" spans="5:20" ht="21" customHeight="1" x14ac:dyDescent="0.35">
      <c r="E61" s="38" t="s">
        <v>17</v>
      </c>
      <c r="F61" s="38"/>
      <c r="G61" s="38"/>
      <c r="H61" s="20"/>
      <c r="I61" s="20"/>
      <c r="J61" s="38" t="s">
        <v>3</v>
      </c>
      <c r="K61" s="38"/>
      <c r="L61" s="38"/>
      <c r="M61" s="24"/>
      <c r="N61" s="10"/>
      <c r="Q61" s="3"/>
      <c r="R61" s="4"/>
    </row>
    <row r="62" spans="5:20" ht="9" customHeight="1" x14ac:dyDescent="0.35">
      <c r="E62" s="20"/>
      <c r="F62" s="21"/>
      <c r="G62" s="20"/>
      <c r="H62" s="20"/>
      <c r="I62" s="20"/>
      <c r="J62" s="20"/>
      <c r="K62" s="20"/>
      <c r="L62" s="20"/>
      <c r="M62" s="20"/>
      <c r="Q62" s="3"/>
      <c r="R62" s="4"/>
    </row>
    <row r="63" spans="5:20" ht="14.5" x14ac:dyDescent="0.35">
      <c r="E63" s="20"/>
      <c r="F63" s="21"/>
      <c r="G63" s="20"/>
      <c r="H63" s="20"/>
      <c r="I63" s="20"/>
      <c r="J63" s="20"/>
      <c r="K63" s="20"/>
      <c r="L63" s="20"/>
      <c r="M63" s="20"/>
      <c r="Q63" s="3"/>
      <c r="R63" s="4"/>
    </row>
    <row r="64" spans="5:20" x14ac:dyDescent="0.35"/>
    <row r="65" x14ac:dyDescent="0.35"/>
    <row r="66" x14ac:dyDescent="0.35"/>
    <row r="67" x14ac:dyDescent="0.35"/>
    <row r="68" ht="15" customHeight="1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52" x14ac:dyDescent="0.35"/>
    <row r="253" x14ac:dyDescent="0.35"/>
  </sheetData>
  <sheetProtection algorithmName="SHA-512" hashValue="NV+TPFKrBJWbSrs+JGdjZ8ar02V4kh66s9p6VUdk939+eEAXwYXNAH1M0EUSo4+sH+a/8x6SVOTK/CW4F97u7Q==" saltValue="GYOfpPLR17EngJG0f8yfsQ==" spinCount="100000" sheet="1" formatCells="0" insertRows="0"/>
  <mergeCells count="85">
    <mergeCell ref="E7:I9"/>
    <mergeCell ref="G51:H51"/>
    <mergeCell ref="I51:M51"/>
    <mergeCell ref="I46:M46"/>
    <mergeCell ref="G47:H47"/>
    <mergeCell ref="I47:M47"/>
    <mergeCell ref="I49:M49"/>
    <mergeCell ref="G50:H50"/>
    <mergeCell ref="I50:M50"/>
    <mergeCell ref="G48:H48"/>
    <mergeCell ref="I48:M48"/>
    <mergeCell ref="G49:H49"/>
    <mergeCell ref="G46:H46"/>
    <mergeCell ref="G40:H40"/>
    <mergeCell ref="I40:M40"/>
    <mergeCell ref="G44:H44"/>
    <mergeCell ref="I44:M44"/>
    <mergeCell ref="G45:H45"/>
    <mergeCell ref="I45:M45"/>
    <mergeCell ref="G39:H39"/>
    <mergeCell ref="I39:M39"/>
    <mergeCell ref="G41:H41"/>
    <mergeCell ref="I41:M41"/>
    <mergeCell ref="G42:H42"/>
    <mergeCell ref="I42:M42"/>
    <mergeCell ref="G43:H43"/>
    <mergeCell ref="I43:M43"/>
    <mergeCell ref="I26:M26"/>
    <mergeCell ref="G27:H27"/>
    <mergeCell ref="I27:M27"/>
    <mergeCell ref="G26:H26"/>
    <mergeCell ref="G33:H33"/>
    <mergeCell ref="I33:M33"/>
    <mergeCell ref="G30:H30"/>
    <mergeCell ref="I30:M30"/>
    <mergeCell ref="G31:H31"/>
    <mergeCell ref="I31:M31"/>
    <mergeCell ref="G32:H32"/>
    <mergeCell ref="I32:M32"/>
    <mergeCell ref="G38:H38"/>
    <mergeCell ref="I38:M38"/>
    <mergeCell ref="G37:H37"/>
    <mergeCell ref="I37:M37"/>
    <mergeCell ref="G28:H28"/>
    <mergeCell ref="I28:M28"/>
    <mergeCell ref="G29:H29"/>
    <mergeCell ref="I29:M29"/>
    <mergeCell ref="G36:H36"/>
    <mergeCell ref="I36:M36"/>
    <mergeCell ref="G34:H34"/>
    <mergeCell ref="I34:M34"/>
    <mergeCell ref="G35:H35"/>
    <mergeCell ref="I35:M35"/>
    <mergeCell ref="E20:M20"/>
    <mergeCell ref="G21:H21"/>
    <mergeCell ref="I21:M21"/>
    <mergeCell ref="G22:H22"/>
    <mergeCell ref="I22:M22"/>
    <mergeCell ref="G23:H23"/>
    <mergeCell ref="I23:M23"/>
    <mergeCell ref="G24:H24"/>
    <mergeCell ref="I24:M24"/>
    <mergeCell ref="G25:H25"/>
    <mergeCell ref="I25:M25"/>
    <mergeCell ref="I16:M16"/>
    <mergeCell ref="E12:H12"/>
    <mergeCell ref="I15:M15"/>
    <mergeCell ref="G19:H19"/>
    <mergeCell ref="I19:M19"/>
    <mergeCell ref="E13:H13"/>
    <mergeCell ref="E15:H15"/>
    <mergeCell ref="E17:H17"/>
    <mergeCell ref="E16:H16"/>
    <mergeCell ref="I13:M13"/>
    <mergeCell ref="E14:H14"/>
    <mergeCell ref="I14:M14"/>
    <mergeCell ref="J61:L61"/>
    <mergeCell ref="J52:M52"/>
    <mergeCell ref="E54:L54"/>
    <mergeCell ref="E55:L55"/>
    <mergeCell ref="E56:L56"/>
    <mergeCell ref="E57:L57"/>
    <mergeCell ref="J60:L60"/>
    <mergeCell ref="E61:G61"/>
    <mergeCell ref="E60:G60"/>
  </mergeCells>
  <dataValidations count="2">
    <dataValidation type="list" allowBlank="1" showInputMessage="1" showErrorMessage="1" sqref="E21:E51" xr:uid="{00000000-0002-0000-0000-000000000000}">
      <formula1>$O$19:$O$50</formula1>
    </dataValidation>
    <dataValidation type="list" allowBlank="1" showInputMessage="1" showErrorMessage="1" sqref="I16:M16" xr:uid="{00000000-0002-0000-0000-000001000000}">
      <formula1>$R$3:$R$27</formula1>
    </dataValidation>
  </dataValidations>
  <printOptions horizontalCentered="1" verticalCentered="1"/>
  <pageMargins left="0" right="0" top="0" bottom="0" header="0" footer="0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REEMBOLSO</vt:lpstr>
      <vt:lpstr>REEMBOLSO!Area_de_impressao</vt:lpstr>
    </vt:vector>
  </TitlesOfParts>
  <Company>Intelbras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 1</dc:creator>
  <cp:lastModifiedBy>Calper Calper</cp:lastModifiedBy>
  <cp:lastPrinted>2026-03-25T17:42:23Z</cp:lastPrinted>
  <dcterms:created xsi:type="dcterms:W3CDTF">2011-07-22T22:01:11Z</dcterms:created>
  <dcterms:modified xsi:type="dcterms:W3CDTF">2026-10-16T18:28:52Z</dcterms:modified>
</cp:coreProperties>
</file>